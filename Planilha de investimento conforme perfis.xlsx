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4711bc672aa955a/Documentos/"/>
    </mc:Choice>
  </mc:AlternateContent>
  <xr:revisionPtr revIDLastSave="0" documentId="13_ncr:b_{1A6E0D76-8108-4FBF-9369-CAA48057CDD7}" xr6:coauthVersionLast="47" xr6:coauthVersionMax="47" xr10:uidLastSave="{00000000-0000-0000-0000-000000000000}"/>
  <bookViews>
    <workbookView xWindow="-108" yWindow="-108" windowWidth="23256" windowHeight="12456" xr2:uid="{A18ECBCD-AA1B-403F-A007-1953C24D88B7}"/>
  </bookViews>
  <sheets>
    <sheet name="App" sheetId="1" r:id="rId1"/>
    <sheet name="Planilha2" sheetId="2" r:id="rId2"/>
  </sheets>
  <definedNames>
    <definedName name="aporte">App!$E$17</definedName>
    <definedName name="patrimonio">App!$E$20</definedName>
    <definedName name="qto_anos">App!$E$18</definedName>
    <definedName name="rendimento_carteira">App!$E$8</definedName>
    <definedName name="salario">App!$E$7</definedName>
    <definedName name="sugestao_investimento">App!$E$9</definedName>
    <definedName name="taxa_mensal">App!$E$19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38" i="1" l="1"/>
  <c r="E38" i="1" s="1"/>
  <c r="D39" i="1"/>
  <c r="E39" i="1" s="1"/>
  <c r="D40" i="1"/>
  <c r="E40" i="1" s="1"/>
  <c r="D41" i="1"/>
  <c r="E41" i="1" s="1"/>
  <c r="D42" i="1"/>
  <c r="E42" i="1" s="1"/>
  <c r="D37" i="1"/>
  <c r="E37" i="1" s="1"/>
  <c r="H4" i="2"/>
  <c r="A16" i="2"/>
  <c r="A17" i="2"/>
  <c r="A18" i="2"/>
  <c r="A19" i="2"/>
  <c r="A20" i="2"/>
  <c r="A15" i="2"/>
  <c r="A10" i="2"/>
  <c r="A11" i="2"/>
  <c r="A12" i="2"/>
  <c r="A13" i="2"/>
  <c r="A14" i="2"/>
  <c r="A9" i="2"/>
  <c r="A4" i="2"/>
  <c r="A5" i="2"/>
  <c r="A6" i="2"/>
  <c r="A7" i="2"/>
  <c r="A8" i="2"/>
  <c r="A3" i="2"/>
  <c r="E20" i="1"/>
  <c r="E21" i="1" s="1"/>
  <c r="E9" i="1"/>
  <c r="D29" i="1"/>
  <c r="E29" i="1" s="1"/>
  <c r="D28" i="1"/>
  <c r="E28" i="1" s="1"/>
  <c r="D27" i="1"/>
  <c r="E27" i="1" s="1"/>
  <c r="D26" i="1"/>
  <c r="E26" i="1" s="1"/>
  <c r="D25" i="1"/>
  <c r="E25" i="1" s="1"/>
  <c r="E43" i="1" l="1"/>
</calcChain>
</file>

<file path=xl/sharedStrings.xml><?xml version="1.0" encoding="utf-8"?>
<sst xmlns="http://schemas.openxmlformats.org/spreadsheetml/2006/main" count="71" uniqueCount="35">
  <si>
    <t>Quanto investir por mês?</t>
  </si>
  <si>
    <t>Por quantos anos?</t>
  </si>
  <si>
    <t>Taxa de rendimento mensal?</t>
  </si>
  <si>
    <t>Patrimônio acumulado?</t>
  </si>
  <si>
    <t>Dividendos mensais?</t>
  </si>
  <si>
    <t>INVESTIMENTO MENSAL</t>
  </si>
  <si>
    <t>Quanto em 2 anos?</t>
  </si>
  <si>
    <t>Quanto em 20 anos?</t>
  </si>
  <si>
    <t>Quanto em 5 anos?</t>
  </si>
  <si>
    <t>Quanto em 10 anos?</t>
  </si>
  <si>
    <t>Quanto em 30 anos?</t>
  </si>
  <si>
    <t>Cenários</t>
  </si>
  <si>
    <t>Dividendos</t>
  </si>
  <si>
    <t>Salário</t>
  </si>
  <si>
    <t>Sugestão de investimento</t>
  </si>
  <si>
    <t>CONFIGURAÇÕES</t>
  </si>
  <si>
    <t>Rendimento Carteira</t>
  </si>
  <si>
    <t>Perfil</t>
  </si>
  <si>
    <t>Moderado</t>
  </si>
  <si>
    <t>Agressivo</t>
  </si>
  <si>
    <t>Conservador</t>
  </si>
  <si>
    <t>VALOR A SER INVESTIDO POR MÊS</t>
  </si>
  <si>
    <t>TIPO DE FII</t>
  </si>
  <si>
    <t>PERCENTUAL SUGERIDO</t>
  </si>
  <si>
    <t>VALORES</t>
  </si>
  <si>
    <t>PAPEL</t>
  </si>
  <si>
    <t>TIJOLO</t>
  </si>
  <si>
    <t>HÍBRIDOS</t>
  </si>
  <si>
    <t>FOFS</t>
  </si>
  <si>
    <t>DESENVOLVIMENTO</t>
  </si>
  <si>
    <t>HOTELARIAS</t>
  </si>
  <si>
    <t>PERFIL</t>
  </si>
  <si>
    <t>%</t>
  </si>
  <si>
    <t>CHAVE</t>
  </si>
  <si>
    <t>Moderado-TIJOLO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</si>
</sst>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166" formatCode="&quot;R$&quot;\ #,##0.00"/>
  </numFmts>
  <fonts count="10" x14ac:knownFonts="1"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14"/>
      <color theme="0"/>
      <name val="Segoe UI Semibold"/>
      <family val="2"/>
    </font>
    <font>
      <b/>
      <sz val="11"/>
      <color theme="0"/>
      <name val="Segoe UI Semibold"/>
      <family val="2"/>
    </font>
  </fonts>
  <fills count="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theme="0" tint="-0.24994659260841701"/>
      </right>
      <top style="medium">
        <color indexed="64"/>
      </top>
      <bottom style="medium">
        <color theme="0" tint="-0.24994659260841701"/>
      </bottom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indexed="64"/>
      </top>
      <bottom style="medium">
        <color theme="0" tint="-0.24994659260841701"/>
      </bottom>
      <diagonal/>
    </border>
    <border>
      <left style="medium">
        <color theme="0" tint="-0.24994659260841701"/>
      </left>
      <right style="medium">
        <color indexed="64"/>
      </right>
      <top style="medium">
        <color indexed="64"/>
      </top>
      <bottom style="medium">
        <color theme="0" tint="-0.24994659260841701"/>
      </bottom>
      <diagonal/>
    </border>
    <border>
      <left style="medium">
        <color indexed="64"/>
      </left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medium">
        <color theme="0" tint="-0.24994659260841701"/>
      </left>
      <right style="medium">
        <color indexed="64"/>
      </right>
      <top style="medium">
        <color theme="0" tint="-0.24994659260841701"/>
      </top>
      <bottom style="medium">
        <color theme="0" tint="-0.24994659260841701"/>
      </bottom>
      <diagonal/>
    </border>
    <border>
      <left style="medium">
        <color indexed="64"/>
      </left>
      <right style="medium">
        <color theme="0" tint="-0.24994659260841701"/>
      </right>
      <top style="medium">
        <color theme="0" tint="-0.24994659260841701"/>
      </top>
      <bottom style="medium">
        <color indexed="64"/>
      </bottom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medium">
        <color indexed="64"/>
      </bottom>
      <diagonal/>
    </border>
    <border>
      <left style="medium">
        <color theme="0" tint="-0.24994659260841701"/>
      </left>
      <right style="medium">
        <color indexed="64"/>
      </right>
      <top style="medium">
        <color theme="0" tint="-0.24994659260841701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theme="0" tint="-0.24994659260841701"/>
      </right>
      <top/>
      <bottom style="medium">
        <color theme="0" tint="-0.24994659260841701"/>
      </bottom>
      <diagonal/>
    </border>
    <border>
      <left style="medium">
        <color theme="0" tint="-0.24994659260841701"/>
      </left>
      <right style="medium">
        <color theme="0" tint="-0.24994659260841701"/>
      </right>
      <top/>
      <bottom style="medium">
        <color theme="0" tint="-0.2499465926084170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48">
    <xf numFmtId="0" fontId="0" fillId="0" borderId="0" xfId="0"/>
    <xf numFmtId="0" fontId="7" fillId="3" borderId="4" xfId="0" applyFont="1" applyFill="1" applyBorder="1" applyAlignment="1">
      <alignment horizontal="left" vertical="center"/>
    </xf>
    <xf numFmtId="0" fontId="2" fillId="3" borderId="5" xfId="0" applyFont="1" applyFill="1" applyBorder="1" applyAlignment="1">
      <alignment horizontal="left" vertical="center"/>
    </xf>
    <xf numFmtId="9" fontId="0" fillId="0" borderId="0" xfId="0" applyNumberFormat="1"/>
    <xf numFmtId="166" fontId="0" fillId="0" borderId="0" xfId="0" applyNumberFormat="1"/>
    <xf numFmtId="166" fontId="0" fillId="0" borderId="9" xfId="0" applyNumberFormat="1" applyBorder="1" applyAlignment="1">
      <alignment horizontal="center"/>
    </xf>
    <xf numFmtId="10" fontId="0" fillId="0" borderId="9" xfId="0" applyNumberFormat="1" applyBorder="1" applyAlignment="1">
      <alignment horizontal="center"/>
    </xf>
    <xf numFmtId="166" fontId="0" fillId="0" borderId="12" xfId="0" applyNumberFormat="1" applyBorder="1" applyAlignment="1">
      <alignment horizontal="center"/>
    </xf>
    <xf numFmtId="8" fontId="0" fillId="4" borderId="8" xfId="0" applyNumberFormat="1" applyFill="1" applyBorder="1" applyAlignment="1">
      <alignment horizontal="center"/>
    </xf>
    <xf numFmtId="8" fontId="0" fillId="4" borderId="11" xfId="0" applyNumberFormat="1" applyFill="1" applyBorder="1" applyAlignment="1">
      <alignment horizontal="center"/>
    </xf>
    <xf numFmtId="0" fontId="5" fillId="4" borderId="7" xfId="0" applyFont="1" applyFill="1" applyBorder="1"/>
    <xf numFmtId="0" fontId="5" fillId="4" borderId="10" xfId="0" applyFont="1" applyFill="1" applyBorder="1"/>
    <xf numFmtId="0" fontId="2" fillId="3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5" fillId="4" borderId="14" xfId="0" applyFont="1" applyFill="1" applyBorder="1" applyAlignment="1">
      <alignment horizontal="left" indent="4"/>
    </xf>
    <xf numFmtId="0" fontId="5" fillId="4" borderId="15" xfId="0" applyFont="1" applyFill="1" applyBorder="1" applyAlignment="1">
      <alignment horizontal="left" indent="4"/>
    </xf>
    <xf numFmtId="0" fontId="0" fillId="4" borderId="7" xfId="0" applyFill="1" applyBorder="1" applyAlignment="1">
      <alignment horizontal="left" indent="4"/>
    </xf>
    <xf numFmtId="0" fontId="0" fillId="4" borderId="8" xfId="0" applyFill="1" applyBorder="1" applyAlignment="1">
      <alignment horizontal="left" indent="4"/>
    </xf>
    <xf numFmtId="0" fontId="0" fillId="4" borderId="10" xfId="0" applyFill="1" applyBorder="1" applyAlignment="1">
      <alignment horizontal="left" indent="4"/>
    </xf>
    <xf numFmtId="0" fontId="0" fillId="4" borderId="11" xfId="0" applyFill="1" applyBorder="1" applyAlignment="1">
      <alignment horizontal="left" indent="4"/>
    </xf>
    <xf numFmtId="0" fontId="0" fillId="0" borderId="9" xfId="0" applyBorder="1" applyAlignment="1">
      <alignment horizontal="center"/>
    </xf>
    <xf numFmtId="8" fontId="3" fillId="4" borderId="9" xfId="0" applyNumberFormat="1" applyFont="1" applyFill="1" applyBorder="1" applyAlignment="1">
      <alignment horizontal="center"/>
    </xf>
    <xf numFmtId="8" fontId="3" fillId="4" borderId="12" xfId="0" applyNumberFormat="1" applyFont="1" applyFill="1" applyBorder="1" applyAlignment="1">
      <alignment horizontal="center"/>
    </xf>
    <xf numFmtId="0" fontId="5" fillId="0" borderId="7" xfId="0" applyFont="1" applyBorder="1" applyAlignment="1">
      <alignment horizontal="left" indent="4"/>
    </xf>
    <xf numFmtId="0" fontId="5" fillId="0" borderId="8" xfId="0" applyFont="1" applyBorder="1" applyAlignment="1">
      <alignment horizontal="left" indent="4"/>
    </xf>
    <xf numFmtId="0" fontId="6" fillId="4" borderId="7" xfId="0" applyFont="1" applyFill="1" applyBorder="1" applyAlignment="1">
      <alignment horizontal="left" indent="4"/>
    </xf>
    <xf numFmtId="0" fontId="6" fillId="4" borderId="8" xfId="0" applyFont="1" applyFill="1" applyBorder="1" applyAlignment="1">
      <alignment horizontal="left" indent="4"/>
    </xf>
    <xf numFmtId="0" fontId="6" fillId="4" borderId="10" xfId="0" applyFont="1" applyFill="1" applyBorder="1" applyAlignment="1">
      <alignment horizontal="left" indent="4"/>
    </xf>
    <xf numFmtId="0" fontId="6" fillId="4" borderId="11" xfId="0" applyFont="1" applyFill="1" applyBorder="1" applyAlignment="1">
      <alignment horizontal="left" indent="4"/>
    </xf>
    <xf numFmtId="0" fontId="8" fillId="5" borderId="1" xfId="0" applyFont="1" applyFill="1" applyBorder="1" applyAlignment="1">
      <alignment horizontal="center"/>
    </xf>
    <xf numFmtId="0" fontId="8" fillId="5" borderId="13" xfId="0" applyFont="1" applyFill="1" applyBorder="1" applyAlignment="1">
      <alignment horizontal="center"/>
    </xf>
    <xf numFmtId="0" fontId="8" fillId="5" borderId="2" xfId="0" applyFont="1" applyFill="1" applyBorder="1" applyAlignment="1">
      <alignment horizont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1" fillId="2" borderId="0" xfId="1" applyBorder="1"/>
    <xf numFmtId="0" fontId="1" fillId="2" borderId="0" xfId="1"/>
    <xf numFmtId="0" fontId="3" fillId="4" borderId="0" xfId="0" applyFont="1" applyFill="1"/>
    <xf numFmtId="0" fontId="1" fillId="2" borderId="0" xfId="1" applyAlignment="1">
      <alignment horizontal="center"/>
    </xf>
    <xf numFmtId="166" fontId="3" fillId="4" borderId="0" xfId="0" applyNumberFormat="1" applyFont="1" applyFill="1" applyAlignment="1">
      <alignment horizontal="center"/>
    </xf>
    <xf numFmtId="0" fontId="3" fillId="6" borderId="0" xfId="0" applyFont="1" applyFill="1" applyAlignment="1">
      <alignment horizontal="center"/>
    </xf>
    <xf numFmtId="0" fontId="0" fillId="6" borderId="0" xfId="0" applyFill="1"/>
    <xf numFmtId="166" fontId="0" fillId="6" borderId="0" xfId="0" applyNumberFormat="1" applyFill="1"/>
    <xf numFmtId="0" fontId="0" fillId="0" borderId="3" xfId="0" applyBorder="1"/>
    <xf numFmtId="0" fontId="0" fillId="0" borderId="3" xfId="0" applyBorder="1" applyAlignment="1">
      <alignment horizontal="center"/>
    </xf>
    <xf numFmtId="9" fontId="0" fillId="0" borderId="3" xfId="0" applyNumberFormat="1" applyBorder="1"/>
    <xf numFmtId="0" fontId="0" fillId="0" borderId="0" xfId="0" applyFill="1" applyBorder="1"/>
    <xf numFmtId="0" fontId="4" fillId="7" borderId="0" xfId="0" applyFont="1" applyFill="1"/>
  </cellXfs>
  <cellStyles count="2">
    <cellStyle name="Neutro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App!$C$37:$C$42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App!$D$37:$D$42</c:f>
              <c:numCache>
                <c:formatCode>0%</c:formatCode>
                <c:ptCount val="6"/>
                <c:pt idx="0">
                  <c:v>0.3</c:v>
                </c:pt>
                <c:pt idx="1">
                  <c:v>0.5</c:v>
                </c:pt>
                <c:pt idx="2">
                  <c:v>0.1</c:v>
                </c:pt>
                <c:pt idx="3">
                  <c:v>0.1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9A-4CE6-B971-D06170D670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148590</xdr:colOff>
      <xdr:row>43</xdr:row>
      <xdr:rowOff>179070</xdr:rowOff>
    </xdr:from>
    <xdr:to>
      <xdr:col>4</xdr:col>
      <xdr:colOff>758190</xdr:colOff>
      <xdr:row>58</xdr:row>
      <xdr:rowOff>179070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6871434-FCA3-08CF-73D8-FE7555F20D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919B4-DED4-48C2-877B-54819E8F3A38}">
  <dimension ref="B5:G72"/>
  <sheetViews>
    <sheetView showGridLines="0" tabSelected="1" topLeftCell="A28" workbookViewId="0">
      <selection activeCell="F50" sqref="F50"/>
    </sheetView>
  </sheetViews>
  <sheetFormatPr defaultColWidth="0" defaultRowHeight="14.4" x14ac:dyDescent="0.3"/>
  <cols>
    <col min="1" max="2" width="8.88671875" customWidth="1"/>
    <col min="3" max="3" width="27" bestFit="1" customWidth="1"/>
    <col min="4" max="4" width="30.77734375" customWidth="1"/>
    <col min="5" max="5" width="19.33203125" customWidth="1"/>
    <col min="6" max="6" width="21.5546875" bestFit="1" customWidth="1"/>
    <col min="7" max="7" width="10.5546875" bestFit="1" customWidth="1"/>
    <col min="8" max="11" width="8.88671875" customWidth="1"/>
    <col min="12" max="16384" width="8.88671875" hidden="1"/>
  </cols>
  <sheetData>
    <row r="5" spans="3:5" ht="15" thickBot="1" x14ac:dyDescent="0.35"/>
    <row r="6" spans="3:5" ht="21" thickBot="1" x14ac:dyDescent="0.5">
      <c r="C6" s="29" t="s">
        <v>15</v>
      </c>
      <c r="D6" s="30"/>
      <c r="E6" s="31"/>
    </row>
    <row r="7" spans="3:5" ht="16.2" thickBot="1" x14ac:dyDescent="0.35">
      <c r="C7" s="14" t="s">
        <v>13</v>
      </c>
      <c r="D7" s="15"/>
      <c r="E7" s="5">
        <v>5000</v>
      </c>
    </row>
    <row r="8" spans="3:5" ht="15" thickBot="1" x14ac:dyDescent="0.35">
      <c r="C8" s="16" t="s">
        <v>16</v>
      </c>
      <c r="D8" s="17"/>
      <c r="E8" s="6">
        <v>0.01</v>
      </c>
    </row>
    <row r="9" spans="3:5" ht="15" thickBot="1" x14ac:dyDescent="0.35">
      <c r="C9" s="18" t="s">
        <v>14</v>
      </c>
      <c r="D9" s="19"/>
      <c r="E9" s="7">
        <f>E7*30%</f>
        <v>1500</v>
      </c>
    </row>
    <row r="15" spans="3:5" ht="15" thickBot="1" x14ac:dyDescent="0.35"/>
    <row r="16" spans="3:5" ht="22.8" customHeight="1" thickBot="1" x14ac:dyDescent="0.35">
      <c r="C16" s="32" t="s">
        <v>5</v>
      </c>
      <c r="D16" s="33"/>
      <c r="E16" s="34"/>
    </row>
    <row r="17" spans="2:5" ht="16.2" thickBot="1" x14ac:dyDescent="0.35">
      <c r="C17" s="23" t="s">
        <v>0</v>
      </c>
      <c r="D17" s="24"/>
      <c r="E17" s="5">
        <v>750</v>
      </c>
    </row>
    <row r="18" spans="2:5" ht="16.2" thickBot="1" x14ac:dyDescent="0.35">
      <c r="C18" s="23" t="s">
        <v>1</v>
      </c>
      <c r="D18" s="24"/>
      <c r="E18" s="20">
        <v>5</v>
      </c>
    </row>
    <row r="19" spans="2:5" ht="16.2" thickBot="1" x14ac:dyDescent="0.35">
      <c r="C19" s="23" t="s">
        <v>2</v>
      </c>
      <c r="D19" s="24"/>
      <c r="E19" s="6">
        <v>1.0789999999999999E-2</v>
      </c>
    </row>
    <row r="20" spans="2:5" ht="16.2" thickBot="1" x14ac:dyDescent="0.35">
      <c r="C20" s="25" t="s">
        <v>3</v>
      </c>
      <c r="D20" s="26"/>
      <c r="E20" s="21">
        <f>FV(taxa_mensal,qto_anos*12,aporte*-1)</f>
        <v>62832.685498865736</v>
      </c>
    </row>
    <row r="21" spans="2:5" ht="16.2" thickBot="1" x14ac:dyDescent="0.35">
      <c r="C21" s="27" t="s">
        <v>4</v>
      </c>
      <c r="D21" s="28"/>
      <c r="E21" s="22">
        <f>patrimonio*rendimento_carteira</f>
        <v>628.32685498865737</v>
      </c>
    </row>
    <row r="23" spans="2:5" ht="15" thickBot="1" x14ac:dyDescent="0.35"/>
    <row r="24" spans="2:5" ht="18.600000000000001" thickBot="1" x14ac:dyDescent="0.35">
      <c r="C24" s="1" t="s">
        <v>11</v>
      </c>
      <c r="D24" s="2"/>
      <c r="E24" s="12" t="s">
        <v>12</v>
      </c>
    </row>
    <row r="25" spans="2:5" ht="16.2" thickBot="1" x14ac:dyDescent="0.35">
      <c r="B25">
        <v>2</v>
      </c>
      <c r="C25" s="10" t="s">
        <v>6</v>
      </c>
      <c r="D25" s="8">
        <f>FV($E$19,$B25*12,E17*-1)</f>
        <v>20420.720473233912</v>
      </c>
      <c r="E25" s="8">
        <f>D25*rendimento_carteira</f>
        <v>204.20720473233914</v>
      </c>
    </row>
    <row r="26" spans="2:5" ht="16.2" thickBot="1" x14ac:dyDescent="0.35">
      <c r="B26">
        <v>5</v>
      </c>
      <c r="C26" s="10" t="s">
        <v>8</v>
      </c>
      <c r="D26" s="8">
        <f>FV($E$19,$B26*12,E17*-1)</f>
        <v>62832.685498865736</v>
      </c>
      <c r="E26" s="8">
        <f>D26*rendimento_carteira</f>
        <v>628.32685498865737</v>
      </c>
    </row>
    <row r="27" spans="2:5" ht="16.2" thickBot="1" x14ac:dyDescent="0.35">
      <c r="B27">
        <v>10</v>
      </c>
      <c r="C27" s="10" t="s">
        <v>9</v>
      </c>
      <c r="D27" s="8">
        <f>FV($E$19,$B27*12,E17*-1)</f>
        <v>182463.15939762915</v>
      </c>
      <c r="E27" s="8">
        <f>D27*rendimento_carteira</f>
        <v>1824.6315939762915</v>
      </c>
    </row>
    <row r="28" spans="2:5" ht="16.2" thickBot="1" x14ac:dyDescent="0.35">
      <c r="B28">
        <v>20</v>
      </c>
      <c r="C28" s="10" t="s">
        <v>7</v>
      </c>
      <c r="D28" s="8">
        <f>FV($E$19,$B28*12,E17*-1)</f>
        <v>843898.8000728105</v>
      </c>
      <c r="E28" s="8">
        <f>D28*rendimento_carteira</f>
        <v>8438.9880007281045</v>
      </c>
    </row>
    <row r="29" spans="2:5" ht="16.2" thickBot="1" x14ac:dyDescent="0.35">
      <c r="B29">
        <v>30</v>
      </c>
      <c r="C29" s="11" t="s">
        <v>10</v>
      </c>
      <c r="D29" s="9">
        <f>FV($E$19,$B29*12,E17*-1)</f>
        <v>3241627.2412535357</v>
      </c>
      <c r="E29" s="8">
        <f>D29*rendimento_carteira</f>
        <v>32416.27241253536</v>
      </c>
    </row>
    <row r="32" spans="2:5" x14ac:dyDescent="0.3">
      <c r="C32" s="35" t="s">
        <v>17</v>
      </c>
      <c r="D32" s="36"/>
      <c r="E32" s="38" t="s">
        <v>20</v>
      </c>
    </row>
    <row r="33" spans="3:5" x14ac:dyDescent="0.3">
      <c r="C33" s="37" t="s">
        <v>21</v>
      </c>
      <c r="D33" s="37"/>
      <c r="E33" s="39">
        <v>500</v>
      </c>
    </row>
    <row r="36" spans="3:5" x14ac:dyDescent="0.3">
      <c r="C36" s="40" t="s">
        <v>22</v>
      </c>
      <c r="D36" s="40" t="s">
        <v>23</v>
      </c>
      <c r="E36" s="40" t="s">
        <v>24</v>
      </c>
    </row>
    <row r="37" spans="3:5" x14ac:dyDescent="0.3">
      <c r="C37" s="13" t="s">
        <v>25</v>
      </c>
      <c r="D37" s="3">
        <f>VLOOKUP($E$32&amp;"-"&amp;C37,Planilha2!$A:$D,4,FALSE)</f>
        <v>0.3</v>
      </c>
      <c r="E37" s="4">
        <f>D37*$E$33</f>
        <v>150</v>
      </c>
    </row>
    <row r="38" spans="3:5" x14ac:dyDescent="0.3">
      <c r="C38" s="13" t="s">
        <v>26</v>
      </c>
      <c r="D38" s="3">
        <f>VLOOKUP($E$32&amp;"-"&amp;C38,Planilha2!$A:$D,4,FALSE)</f>
        <v>0.5</v>
      </c>
      <c r="E38" s="4">
        <f t="shared" ref="E38:E42" si="0">D38*$E$33</f>
        <v>250</v>
      </c>
    </row>
    <row r="39" spans="3:5" x14ac:dyDescent="0.3">
      <c r="C39" s="13" t="s">
        <v>27</v>
      </c>
      <c r="D39" s="3">
        <f>VLOOKUP($E$32&amp;"-"&amp;C39,Planilha2!$A:$D,4,FALSE)</f>
        <v>0.1</v>
      </c>
      <c r="E39" s="4">
        <f t="shared" si="0"/>
        <v>50</v>
      </c>
    </row>
    <row r="40" spans="3:5" x14ac:dyDescent="0.3">
      <c r="C40" s="13" t="s">
        <v>28</v>
      </c>
      <c r="D40" s="3">
        <f>VLOOKUP($E$32&amp;"-"&amp;C40,Planilha2!$A:$D,4,FALSE)</f>
        <v>0.1</v>
      </c>
      <c r="E40" s="4">
        <f t="shared" si="0"/>
        <v>50</v>
      </c>
    </row>
    <row r="41" spans="3:5" x14ac:dyDescent="0.3">
      <c r="C41" s="13" t="s">
        <v>29</v>
      </c>
      <c r="D41" s="3">
        <f>VLOOKUP($E$32&amp;"-"&amp;C41,Planilha2!$A:$D,4,FALSE)</f>
        <v>0</v>
      </c>
      <c r="E41" s="4">
        <f t="shared" si="0"/>
        <v>0</v>
      </c>
    </row>
    <row r="42" spans="3:5" x14ac:dyDescent="0.3">
      <c r="C42" s="13" t="s">
        <v>30</v>
      </c>
      <c r="D42" s="3">
        <f>VLOOKUP($E$32&amp;"-"&amp;C42,Planilha2!$A:$D,4,FALSE)</f>
        <v>0</v>
      </c>
      <c r="E42" s="4">
        <f t="shared" si="0"/>
        <v>0</v>
      </c>
    </row>
    <row r="43" spans="3:5" x14ac:dyDescent="0.3">
      <c r="C43" s="41"/>
      <c r="D43" s="41"/>
      <c r="E43" s="42">
        <f>SUM(E37:E42)</f>
        <v>500</v>
      </c>
    </row>
    <row r="49" customFormat="1" x14ac:dyDescent="0.3"/>
    <row r="50" customFormat="1" x14ac:dyDescent="0.3"/>
    <row r="51" customFormat="1" x14ac:dyDescent="0.3"/>
    <row r="52" customFormat="1" x14ac:dyDescent="0.3"/>
    <row r="53" customFormat="1" x14ac:dyDescent="0.3"/>
    <row r="54" customFormat="1" x14ac:dyDescent="0.3"/>
    <row r="55" customFormat="1" x14ac:dyDescent="0.3"/>
    <row r="56" customFormat="1" x14ac:dyDescent="0.3"/>
    <row r="57" customFormat="1" x14ac:dyDescent="0.3"/>
    <row r="58" customFormat="1" x14ac:dyDescent="0.3"/>
    <row r="59" customFormat="1" x14ac:dyDescent="0.3"/>
    <row r="60" customFormat="1" x14ac:dyDescent="0.3"/>
    <row r="61" customFormat="1" x14ac:dyDescent="0.3"/>
    <row r="62" customFormat="1" x14ac:dyDescent="0.3"/>
    <row r="63" customFormat="1" x14ac:dyDescent="0.3"/>
    <row r="64" customFormat="1" x14ac:dyDescent="0.3"/>
    <row r="65" customFormat="1" x14ac:dyDescent="0.3"/>
    <row r="66" customFormat="1" x14ac:dyDescent="0.3"/>
    <row r="67" customFormat="1" x14ac:dyDescent="0.3"/>
    <row r="68" customFormat="1" x14ac:dyDescent="0.3"/>
    <row r="69" customFormat="1" x14ac:dyDescent="0.3"/>
    <row r="70" customFormat="1" x14ac:dyDescent="0.3"/>
    <row r="71" customFormat="1" x14ac:dyDescent="0.3"/>
    <row r="72" customFormat="1" x14ac:dyDescent="0.3"/>
  </sheetData>
  <mergeCells count="11">
    <mergeCell ref="C9:D9"/>
    <mergeCell ref="C8:D8"/>
    <mergeCell ref="C7:D7"/>
    <mergeCell ref="C6:E6"/>
    <mergeCell ref="C16:E16"/>
    <mergeCell ref="C24:D24"/>
    <mergeCell ref="C17:D17"/>
    <mergeCell ref="C18:D18"/>
    <mergeCell ref="C19:D19"/>
    <mergeCell ref="C20:D20"/>
    <mergeCell ref="C21:D21"/>
  </mergeCells>
  <dataValidations count="1">
    <dataValidation type="list" allowBlank="1" showInputMessage="1" showErrorMessage="1" sqref="E32" xr:uid="{D7D7D53B-45DA-413A-BF62-FCF668FF8175}">
      <formula1>"Conservador,Moderado,Agressivo"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1B0D5-D03E-40BC-88D8-F5A09309E93C}">
  <dimension ref="A2:H20"/>
  <sheetViews>
    <sheetView workbookViewId="0">
      <selection activeCell="E6" sqref="E6"/>
    </sheetView>
  </sheetViews>
  <sheetFormatPr defaultRowHeight="14.4" x14ac:dyDescent="0.3"/>
  <cols>
    <col min="1" max="1" width="28.77734375" bestFit="1" customWidth="1"/>
    <col min="2" max="2" width="11.21875" bestFit="1" customWidth="1"/>
    <col min="3" max="3" width="17.6640625" bestFit="1" customWidth="1"/>
    <col min="7" max="7" width="15.77734375" customWidth="1"/>
    <col min="8" max="8" width="24.21875" customWidth="1"/>
  </cols>
  <sheetData>
    <row r="2" spans="1:8" x14ac:dyDescent="0.3">
      <c r="A2" s="47" t="s">
        <v>33</v>
      </c>
      <c r="B2" s="47" t="s">
        <v>31</v>
      </c>
      <c r="C2" s="47" t="s">
        <v>22</v>
      </c>
      <c r="D2" s="47" t="s">
        <v>32</v>
      </c>
    </row>
    <row r="3" spans="1:8" x14ac:dyDescent="0.3">
      <c r="A3" t="str">
        <f>$B$3&amp;"-"&amp;C3</f>
        <v>Conservador-PAPEL</v>
      </c>
      <c r="B3" t="s">
        <v>20</v>
      </c>
      <c r="C3" s="13" t="s">
        <v>25</v>
      </c>
      <c r="D3" s="3">
        <v>0.3</v>
      </c>
      <c r="H3" t="s">
        <v>32</v>
      </c>
    </row>
    <row r="4" spans="1:8" x14ac:dyDescent="0.3">
      <c r="A4" t="str">
        <f t="shared" ref="A4:A8" si="0">$B$3&amp;"-"&amp;C4</f>
        <v>Conservador-TIJOLO</v>
      </c>
      <c r="B4" t="s">
        <v>20</v>
      </c>
      <c r="C4" s="13" t="s">
        <v>26</v>
      </c>
      <c r="D4" s="3">
        <v>0.5</v>
      </c>
      <c r="G4" s="35" t="s">
        <v>34</v>
      </c>
      <c r="H4" s="36">
        <f>VLOOKUP(G4,$A:$D,4,FALSE)</f>
        <v>0.35</v>
      </c>
    </row>
    <row r="5" spans="1:8" x14ac:dyDescent="0.3">
      <c r="A5" t="str">
        <f t="shared" si="0"/>
        <v>Conservador-HÍBRIDOS</v>
      </c>
      <c r="B5" t="s">
        <v>20</v>
      </c>
      <c r="C5" s="13" t="s">
        <v>27</v>
      </c>
      <c r="D5" s="3">
        <v>0.1</v>
      </c>
    </row>
    <row r="6" spans="1:8" x14ac:dyDescent="0.3">
      <c r="A6" t="str">
        <f t="shared" si="0"/>
        <v>Conservador-FOFS</v>
      </c>
      <c r="B6" t="s">
        <v>20</v>
      </c>
      <c r="C6" s="13" t="s">
        <v>28</v>
      </c>
      <c r="D6" s="3">
        <v>0.1</v>
      </c>
    </row>
    <row r="7" spans="1:8" x14ac:dyDescent="0.3">
      <c r="A7" t="str">
        <f t="shared" si="0"/>
        <v>Conservador-DESENVOLVIMENTO</v>
      </c>
      <c r="B7" t="s">
        <v>20</v>
      </c>
      <c r="C7" s="13" t="s">
        <v>29</v>
      </c>
      <c r="D7" s="3">
        <v>0</v>
      </c>
    </row>
    <row r="8" spans="1:8" ht="15" thickBot="1" x14ac:dyDescent="0.35">
      <c r="A8" s="43" t="str">
        <f t="shared" si="0"/>
        <v>Conservador-HOTELARIAS</v>
      </c>
      <c r="B8" s="43" t="s">
        <v>20</v>
      </c>
      <c r="C8" s="44" t="s">
        <v>30</v>
      </c>
      <c r="D8" s="45">
        <v>0</v>
      </c>
    </row>
    <row r="9" spans="1:8" x14ac:dyDescent="0.3">
      <c r="A9" s="46" t="str">
        <f>$B$9&amp;"-"&amp;C9</f>
        <v>Moderado-PAPEL</v>
      </c>
      <c r="B9" t="s">
        <v>18</v>
      </c>
      <c r="C9" s="13" t="s">
        <v>25</v>
      </c>
      <c r="D9" s="3">
        <v>0.32</v>
      </c>
    </row>
    <row r="10" spans="1:8" x14ac:dyDescent="0.3">
      <c r="A10" s="46" t="str">
        <f t="shared" ref="A10:A14" si="1">$B$9&amp;"-"&amp;C10</f>
        <v>Moderado-TIJOLO</v>
      </c>
      <c r="B10" t="s">
        <v>18</v>
      </c>
      <c r="C10" s="13" t="s">
        <v>26</v>
      </c>
      <c r="D10" s="3">
        <v>0.35</v>
      </c>
    </row>
    <row r="11" spans="1:8" x14ac:dyDescent="0.3">
      <c r="A11" s="46" t="str">
        <f t="shared" si="1"/>
        <v>Moderado-HÍBRIDOS</v>
      </c>
      <c r="B11" t="s">
        <v>18</v>
      </c>
      <c r="C11" s="13" t="s">
        <v>27</v>
      </c>
      <c r="D11" s="3">
        <v>0.08</v>
      </c>
    </row>
    <row r="12" spans="1:8" x14ac:dyDescent="0.3">
      <c r="A12" s="46" t="str">
        <f t="shared" si="1"/>
        <v>Moderado-FOFS</v>
      </c>
      <c r="B12" t="s">
        <v>18</v>
      </c>
      <c r="C12" s="13" t="s">
        <v>28</v>
      </c>
      <c r="D12" s="3">
        <v>0.05</v>
      </c>
    </row>
    <row r="13" spans="1:8" x14ac:dyDescent="0.3">
      <c r="A13" s="46" t="str">
        <f t="shared" si="1"/>
        <v>Moderado-DESENVOLVIMENTO</v>
      </c>
      <c r="B13" t="s">
        <v>18</v>
      </c>
      <c r="C13" s="13" t="s">
        <v>29</v>
      </c>
      <c r="D13" s="3">
        <v>0.1</v>
      </c>
    </row>
    <row r="14" spans="1:8" ht="15" thickBot="1" x14ac:dyDescent="0.35">
      <c r="A14" s="46" t="str">
        <f t="shared" si="1"/>
        <v>Moderado-HOTELARIAS</v>
      </c>
      <c r="B14" s="43" t="s">
        <v>18</v>
      </c>
      <c r="C14" s="44" t="s">
        <v>30</v>
      </c>
      <c r="D14" s="45">
        <v>0.1</v>
      </c>
    </row>
    <row r="15" spans="1:8" x14ac:dyDescent="0.3">
      <c r="A15" s="46" t="str">
        <f>$B$15&amp;"-"&amp;C15</f>
        <v>Agressivo-PAPEL</v>
      </c>
      <c r="B15" t="s">
        <v>19</v>
      </c>
      <c r="C15" s="13" t="s">
        <v>25</v>
      </c>
      <c r="D15" s="3">
        <v>0.5</v>
      </c>
    </row>
    <row r="16" spans="1:8" x14ac:dyDescent="0.3">
      <c r="A16" s="46" t="str">
        <f t="shared" ref="A16:A20" si="2">$B$15&amp;"-"&amp;C16</f>
        <v>Agressivo-TIJOLO</v>
      </c>
      <c r="B16" t="s">
        <v>19</v>
      </c>
      <c r="C16" s="13" t="s">
        <v>26</v>
      </c>
      <c r="D16" s="3">
        <v>0.1</v>
      </c>
    </row>
    <row r="17" spans="1:4" x14ac:dyDescent="0.3">
      <c r="A17" s="46" t="str">
        <f t="shared" si="2"/>
        <v>Agressivo-HÍBRIDOS</v>
      </c>
      <c r="B17" t="s">
        <v>19</v>
      </c>
      <c r="C17" s="13" t="s">
        <v>27</v>
      </c>
      <c r="D17" s="3">
        <v>0.05</v>
      </c>
    </row>
    <row r="18" spans="1:4" x14ac:dyDescent="0.3">
      <c r="A18" s="46" t="str">
        <f t="shared" si="2"/>
        <v>Agressivo-FOFS</v>
      </c>
      <c r="B18" t="s">
        <v>19</v>
      </c>
      <c r="C18" s="13" t="s">
        <v>28</v>
      </c>
      <c r="D18" s="3">
        <v>0.05</v>
      </c>
    </row>
    <row r="19" spans="1:4" x14ac:dyDescent="0.3">
      <c r="A19" s="46" t="str">
        <f t="shared" si="2"/>
        <v>Agressivo-DESENVOLVIMENTO</v>
      </c>
      <c r="B19" t="s">
        <v>19</v>
      </c>
      <c r="C19" s="13" t="s">
        <v>29</v>
      </c>
      <c r="D19" s="3">
        <v>0.2</v>
      </c>
    </row>
    <row r="20" spans="1:4" x14ac:dyDescent="0.3">
      <c r="A20" s="46" t="str">
        <f t="shared" si="2"/>
        <v>Agressivo-HOTELARIAS</v>
      </c>
      <c r="B20" t="s">
        <v>19</v>
      </c>
      <c r="C20" s="13" t="s">
        <v>30</v>
      </c>
      <c r="D20" s="3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App</vt:lpstr>
      <vt:lpstr>Planilha2</vt:lpstr>
      <vt:lpstr>aporte</vt:lpstr>
      <vt:lpstr>patrimonio</vt:lpstr>
      <vt:lpstr>qto_anos</vt:lpstr>
      <vt:lpstr>rendimento_carteira</vt:lpstr>
      <vt:lpstr>salario</vt:lpstr>
      <vt:lpstr>sugestao_investimento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Neffeche Alexander</dc:creator>
  <cp:lastModifiedBy>Neffeche Alexander</cp:lastModifiedBy>
  <dcterms:created xsi:type="dcterms:W3CDTF">2026-10-16T00:42:32Z</dcterms:created>
  <dcterms:modified xsi:type="dcterms:W3CDTF">2026-10-17T21:50:08Z</dcterms:modified>
</cp:coreProperties>
</file>